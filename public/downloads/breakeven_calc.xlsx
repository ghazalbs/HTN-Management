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2DA21998-5543-4F57-941F-2A3B8FEC5132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Assumptions" sheetId="1" r:id="rId1"/>
    <sheet name="Resul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4" i="2" l="1"/>
  <c r="G6" i="2"/>
  <c r="F6" i="2"/>
  <c r="F44" i="2"/>
  <c r="B44" i="2"/>
  <c r="C34" i="2"/>
  <c r="B34" i="2"/>
  <c r="D25" i="2"/>
  <c r="C25" i="2"/>
  <c r="F25" i="2" s="1"/>
  <c r="G25" i="2" s="1"/>
  <c r="F15" i="2"/>
  <c r="B15" i="2"/>
  <c r="D15" i="2" s="1"/>
  <c r="F10" i="2"/>
  <c r="E48" i="2"/>
  <c r="E47" i="2"/>
  <c r="E46" i="2"/>
  <c r="E45" i="2"/>
  <c r="E44" i="2"/>
  <c r="H28" i="2"/>
  <c r="C28" i="2"/>
  <c r="B28" i="2"/>
  <c r="D28" i="2" s="1"/>
  <c r="H27" i="2"/>
  <c r="F27" i="2"/>
  <c r="G27" i="2" s="1"/>
  <c r="C27" i="2"/>
  <c r="B27" i="2"/>
  <c r="D27" i="2" s="1"/>
  <c r="H26" i="2"/>
  <c r="F26" i="2"/>
  <c r="G26" i="2" s="1"/>
  <c r="C26" i="2"/>
  <c r="D26" i="2" s="1"/>
  <c r="B26" i="2"/>
  <c r="H25" i="2"/>
  <c r="B25" i="2"/>
  <c r="C10" i="2"/>
  <c r="B10" i="2"/>
  <c r="B40" i="1"/>
  <c r="E27" i="2" s="1"/>
  <c r="D32" i="1"/>
  <c r="D31" i="1"/>
  <c r="D30" i="1"/>
  <c r="D29" i="1"/>
  <c r="B17" i="1"/>
  <c r="E8" i="2" s="1"/>
  <c r="G8" i="2" s="1"/>
  <c r="C17" i="2" s="1"/>
  <c r="E17" i="2" s="1"/>
  <c r="B16" i="1"/>
  <c r="D8" i="2" s="1"/>
  <c r="F8" i="2" s="1"/>
  <c r="C38" i="2" l="1"/>
  <c r="C37" i="2"/>
  <c r="F37" i="2" s="1"/>
  <c r="I37" i="2" s="1"/>
  <c r="C36" i="2"/>
  <c r="F36" i="2" s="1"/>
  <c r="I36" i="2" s="1"/>
  <c r="C35" i="2"/>
  <c r="D38" i="2"/>
  <c r="D34" i="2"/>
  <c r="D37" i="2"/>
  <c r="D36" i="2"/>
  <c r="D35" i="2"/>
  <c r="E34" i="2"/>
  <c r="E37" i="2"/>
  <c r="E36" i="2"/>
  <c r="E35" i="2"/>
  <c r="E38" i="2"/>
  <c r="F28" i="2"/>
  <c r="G28" i="2" s="1"/>
  <c r="B17" i="2"/>
  <c r="D17" i="2" s="1"/>
  <c r="F17" i="2" s="1"/>
  <c r="H8" i="2"/>
  <c r="D9" i="2"/>
  <c r="F9" i="2" s="1"/>
  <c r="E25" i="2"/>
  <c r="E9" i="2"/>
  <c r="G9" i="2" s="1"/>
  <c r="C18" i="2" s="1"/>
  <c r="E18" i="2" s="1"/>
  <c r="E28" i="2"/>
  <c r="H36" i="2"/>
  <c r="D6" i="2"/>
  <c r="E6" i="2"/>
  <c r="C15" i="2" s="1"/>
  <c r="E15" i="2" s="1"/>
  <c r="D10" i="2"/>
  <c r="E26" i="2"/>
  <c r="E10" i="2"/>
  <c r="G10" i="2" s="1"/>
  <c r="C19" i="2" s="1"/>
  <c r="E19" i="2" s="1"/>
  <c r="D7" i="2"/>
  <c r="F7" i="2" s="1"/>
  <c r="E7" i="2"/>
  <c r="G7" i="2" s="1"/>
  <c r="C16" i="2" s="1"/>
  <c r="E16" i="2" s="1"/>
  <c r="G36" i="2" l="1"/>
  <c r="H35" i="2"/>
  <c r="G35" i="2"/>
  <c r="F35" i="2"/>
  <c r="I35" i="2" s="1"/>
  <c r="G37" i="2"/>
  <c r="H37" i="2"/>
  <c r="F38" i="2"/>
  <c r="I38" i="2" s="1"/>
  <c r="H38" i="2"/>
  <c r="G38" i="2"/>
  <c r="B16" i="2"/>
  <c r="D16" i="2" s="1"/>
  <c r="F16" i="2" s="1"/>
  <c r="H7" i="2"/>
  <c r="B18" i="2"/>
  <c r="D18" i="2" s="1"/>
  <c r="F18" i="2" s="1"/>
  <c r="H9" i="2"/>
  <c r="B19" i="2"/>
  <c r="D19" i="2" s="1"/>
  <c r="F19" i="2" s="1"/>
  <c r="H10" i="2"/>
  <c r="H6" i="2"/>
  <c r="B46" i="2"/>
  <c r="F46" i="2" s="1"/>
  <c r="D46" i="2"/>
  <c r="H46" i="2" s="1"/>
  <c r="B36" i="2"/>
  <c r="C46" i="2"/>
  <c r="G46" i="2" s="1"/>
  <c r="D44" i="2" l="1"/>
  <c r="H44" i="2" s="1"/>
  <c r="C44" i="2"/>
  <c r="G44" i="2" s="1"/>
  <c r="B38" i="2"/>
  <c r="D48" i="2"/>
  <c r="H48" i="2" s="1"/>
  <c r="C48" i="2"/>
  <c r="G48" i="2" s="1"/>
  <c r="B48" i="2"/>
  <c r="F48" i="2" s="1"/>
  <c r="B37" i="2"/>
  <c r="D47" i="2"/>
  <c r="H47" i="2" s="1"/>
  <c r="C47" i="2"/>
  <c r="G47" i="2" s="1"/>
  <c r="B47" i="2"/>
  <c r="F47" i="2" s="1"/>
  <c r="D45" i="2"/>
  <c r="H45" i="2" s="1"/>
  <c r="C45" i="2"/>
  <c r="G45" i="2" s="1"/>
  <c r="B35" i="2"/>
  <c r="B45" i="2"/>
  <c r="F45" i="2" s="1"/>
  <c r="G34" i="2" l="1"/>
  <c r="I34" i="2"/>
  <c r="H34" i="2"/>
</calcChain>
</file>

<file path=xl/sharedStrings.xml><?xml version="1.0" encoding="utf-8"?>
<sst xmlns="http://schemas.openxmlformats.org/spreadsheetml/2006/main" count="144" uniqueCount="110">
  <si>
    <t>Break-Even Analysis: AOBP vs Traditional BP Measurement Technology</t>
  </si>
  <si>
    <t>Based on CADTH cost data · MDP factorial analysis · Relative_value_to_PI = VOI(SIL)/VOI(PI)</t>
  </si>
  <si>
    <t xml:space="preserve">  Legend</t>
  </si>
  <si>
    <t>Blue text / blue bg</t>
  </si>
  <si>
    <t>Editable input — change for sensitivity analysis</t>
  </si>
  <si>
    <t>Gold background</t>
  </si>
  <si>
    <t>V(PI) / V(0) — fill from MDP calibration to unlock absolute QALYs</t>
  </si>
  <si>
    <t>Grey background</t>
  </si>
  <si>
    <t>Calculated formula — do not edit</t>
  </si>
  <si>
    <t xml:space="preserve">  A.  Cost Parameters  (CADTH-based)</t>
  </si>
  <si>
    <t>Parameter</t>
  </si>
  <si>
    <t>Value</t>
  </si>
  <si>
    <t>Unit</t>
  </si>
  <si>
    <t>Source / Notes</t>
  </si>
  <si>
    <t>AOBP device cost — low</t>
  </si>
  <si>
    <t>BpTRU entry-level</t>
  </si>
  <si>
    <t>CADTH BpTRU office BP monitor assessment</t>
  </si>
  <si>
    <t>AOBP device cost — high</t>
  </si>
  <si>
    <t>BpTRU premium</t>
  </si>
  <si>
    <t>Conventional device cost</t>
  </si>
  <si>
    <t>Aneroid sphygmomanometer</t>
  </si>
  <si>
    <t>Canadian supplier listing (high-end aneroid)</t>
  </si>
  <si>
    <t>WTP threshold</t>
  </si>
  <si>
    <t>C$/QALY</t>
  </si>
  <si>
    <t>CADTH guidelines 2017 — standard threshold</t>
  </si>
  <si>
    <t>Incremental cost — low  (AOBP low − conventional)</t>
  </si>
  <si>
    <t>C$</t>
  </si>
  <si>
    <t>Derived</t>
  </si>
  <si>
    <t>Incremental cost — high  (AOBP high − conventional)</t>
  </si>
  <si>
    <t xml:space="preserve">  B.  Deployment Assumptions</t>
  </si>
  <si>
    <t>Notes</t>
  </si>
  <si>
    <t>Device lifetime</t>
  </si>
  <si>
    <t>years</t>
  </si>
  <si>
    <t>CADTH: ≥10,000 measurements per device</t>
  </si>
  <si>
    <t>Patients seen per year</t>
  </si>
  <si>
    <t>patients/yr</t>
  </si>
  <si>
    <t>Clinical practice volume</t>
  </si>
  <si>
    <t>Treatment horizon</t>
  </si>
  <si>
    <t>HTN management per patient (e.g. age 50–70)</t>
  </si>
  <si>
    <t xml:space="preserve">  C.  Model Parameters — Relative_value_to_PI  (pre-filled from factorial analysis)</t>
  </si>
  <si>
    <t>Scenario</t>
  </si>
  <si>
    <t>TF=Low (AOBP)</t>
  </si>
  <si>
    <t>TF=High (Traditional)</t>
  </si>
  <si>
    <t>Gain (L−H)</t>
  </si>
  <si>
    <t>HF=Optimal (Δ*) — unbiased</t>
  </si>
  <si>
    <t>Pure TF effect; unbiased learning</t>
  </si>
  <si>
    <t>HF=Low commitment (Δ_L)</t>
  </si>
  <si>
    <t>Under-reaction / physician inertia</t>
  </si>
  <si>
    <t>HF=High commitment (Δ_H)</t>
  </si>
  <si>
    <t>Over-commitment to prior beliefs</t>
  </si>
  <si>
    <t>Overall average (all HF)</t>
  </si>
  <si>
    <t>Averaged across all scenarios</t>
  </si>
  <si>
    <t xml:space="preserve">  D.  V(PI)  —  Fill in from MDP Calibration  (unlocks absolute QALY results)</t>
  </si>
  <si>
    <t>VOI(PI) = V(PI) − V(0).  If V(0) is blank, VOI(PI) = V(PI).  These values power the absolute QALY and break-even verdict in the Results sheet.</t>
  </si>
  <si>
    <t>Value (QALYs)</t>
  </si>
  <si>
    <t>Description</t>
  </si>
  <si>
    <t>V(PI) — expected QALYs under perfect information</t>
  </si>
  <si>
    <t>From MDP value function; representative patient calibrated to Montreal cohort</t>
  </si>
  <si>
    <t>V(0) — expected QALYs under no treatment / baseline</t>
  </si>
  <si>
    <t>Leave blank to use V(PI) directly as VOI(PI)</t>
  </si>
  <si>
    <t>VOI(PI) = V(PI) − V(0)</t>
  </si>
  <si>
    <t>Derived — referenced automatically in Results sheet</t>
  </si>
  <si>
    <t>Results — Break-Even Analysis</t>
  </si>
  <si>
    <t>All values pulled from Assumptions sheet via formulas. Change inputs there; results update automatically.</t>
  </si>
  <si>
    <t xml:space="preserve">  1.  Annual Incremental Device Cost per Patient  (C$)</t>
  </si>
  <si>
    <t>Device life (yr)</t>
  </si>
  <si>
    <t>Pts/yr</t>
  </si>
  <si>
    <t>Inc. cost low (C$)</t>
  </si>
  <si>
    <t>Inc. cost high (C$)</t>
  </si>
  <si>
    <t>Ann. cost/pt — low</t>
  </si>
  <si>
    <t>Ann. cost/pt — high</t>
  </si>
  <si>
    <t>Mid. cost/pt</t>
  </si>
  <si>
    <t>5-yr device · 100 pts/yr</t>
  </si>
  <si>
    <t>5-yr device · 250 pts/yr</t>
  </si>
  <si>
    <t>10-yr device · 250 pts/yr</t>
  </si>
  <si>
    <t>5-yr device · 500 pts/yr</t>
  </si>
  <si>
    <t>Custom (from Assumptions)</t>
  </si>
  <si>
    <t xml:space="preserve">  2.  Required QALY Gain per Patient per Year  (at CADTH C$50,000/QALY threshold)</t>
  </si>
  <si>
    <t>Required QALY — low</t>
  </si>
  <si>
    <t>Required QALY — high</t>
  </si>
  <si>
    <t>Required QALY — mid</t>
  </si>
  <si>
    <t xml:space="preserve">  3.  Model-Implied QALY Gains — Relative and Absolute</t>
  </si>
  <si>
    <t>Relative gain = Relative_value_to_PI(TF=Low) − Relative_value_to_PI(TF=High)  [fraction of VOI(PI)].  Absolute gain = Relative gain × VOI(PI).  Annualized = Absolute / Treatment horizon.  Cells turn green once V(PI) is entered in Assumptions sheet.</t>
  </si>
  <si>
    <t>HF scenario</t>
  </si>
  <si>
    <t>RV(TF=Low)</t>
  </si>
  <si>
    <t>RV(TF=High)</t>
  </si>
  <si>
    <t>Relative gain
(×VOI(PI))</t>
  </si>
  <si>
    <t>VOI(PI) (QALYs)</t>
  </si>
  <si>
    <t>Absolute QALY
gain (total)</t>
  </si>
  <si>
    <t>Annualized QALY
gain (/yr)</t>
  </si>
  <si>
    <t>Tx horizon (yr)</t>
  </si>
  <si>
    <t xml:space="preserve">  4.  Break-Even Verdict — Required vs. Implied QALY Gain</t>
  </si>
  <si>
    <t>Compares the most conservative implied QALY gain (HF=Optimal) to the required threshold for each deployment scenario. "Multiple" = Implied annualized gain / Required mid QALY. Values ≥1 confirm break-even.</t>
  </si>
  <si>
    <t>Required QALY/yr
(mid)</t>
  </si>
  <si>
    <t>Implied QALY/yr
(HF=Optimal, conservative)</t>
  </si>
  <si>
    <t>Implied QALY/yr
(HF=Low Δ_L)</t>
  </si>
  <si>
    <t>Implied QALY/yr
(HF=High Δ_H)</t>
  </si>
  <si>
    <t>Multiple
(Optimal)</t>
  </si>
  <si>
    <t>Multiple
(Low Δ_L)</t>
  </si>
  <si>
    <t>Multiple
(High Δ_H)</t>
  </si>
  <si>
    <t>Verdict</t>
  </si>
  <si>
    <t xml:space="preserve">  5.  Sensitivity — What V(PI) would be needed to just break even?</t>
  </si>
  <si>
    <t>HF=Optimal: V(PI)* needed</t>
  </si>
  <si>
    <t>HF=Low: V(PI)* needed</t>
  </si>
  <si>
    <t>HF=High: V(PI)* needed</t>
  </si>
  <si>
    <t>Margin (Optimal)</t>
  </si>
  <si>
    <t>Margin (Low Δ_L)</t>
  </si>
  <si>
    <t>Margin (High Δ_H)</t>
  </si>
  <si>
    <t>Break-even V(PI)* = Required QALY/yr × Treatment horizon / Relative gain.  If the actual V(PI) exceeds V(PI)*, the technology is cost-justified.</t>
  </si>
  <si>
    <t>V(PI) (entered)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</si>
</sst>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C$&quot;#,##0"/>
    <numFmt numFmtId="165" formatCode="0.0000"/>
    <numFmt numFmtId="166" formatCode="&quot;C$&quot;#,##0.00"/>
    <numFmt numFmtId="167" formatCode="0.00000000"/>
    <numFmt numFmtId="168" formatCode="0.000000"/>
    <numFmt numFmtId="169" formatCode="#,##0.0\×"/>
  </numFmts>
  <fonts count="16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color rgb="FF00008B"/>
      <name val="Arial"/>
      <charset val="1"/>
    </font>
    <font>
      <sz val="9"/>
      <color rgb="FF000000"/>
      <name val="Arial"/>
      <charset val="1"/>
    </font>
    <font>
      <b/>
      <sz val="9"/>
      <color rgb="FF7F6000"/>
      <name val="Arial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sz val="10"/>
      <color rgb="FF00008B"/>
      <name val="Arial"/>
      <charset val="1"/>
    </font>
    <font>
      <b/>
      <sz val="10"/>
      <color rgb="FF000000"/>
      <name val="Arial"/>
      <charset val="1"/>
    </font>
    <font>
      <i/>
      <sz val="9"/>
      <color rgb="FF7F6000"/>
      <name val="Arial"/>
      <charset val="1"/>
    </font>
    <font>
      <b/>
      <sz val="10"/>
      <color rgb="FF7F6000"/>
      <name val="Arial"/>
      <charset val="1"/>
    </font>
    <font>
      <i/>
      <sz val="9"/>
      <color rgb="FF000000"/>
      <name val="Arial"/>
      <charset val="1"/>
    </font>
    <font>
      <b/>
      <sz val="10"/>
      <color rgb="FF375623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5C8A"/>
      </patternFill>
    </fill>
    <fill>
      <patternFill patternType="solid">
        <fgColor rgb="FFDCE6F1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DCE6F1"/>
      </patternFill>
    </fill>
    <fill>
      <patternFill patternType="solid">
        <fgColor rgb="FF2E5C8A"/>
        <bgColor rgb="FF595959"/>
      </patternFill>
    </fill>
    <fill>
      <patternFill patternType="solid">
        <fgColor rgb="FFE2EFDA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6" borderId="1" xfId="0" applyFill="1" applyBorder="1"/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indent="1"/>
    </xf>
    <xf numFmtId="164" fontId="10" fillId="3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11" fillId="0" borderId="1" xfId="0" applyFont="1" applyBorder="1" applyAlignment="1">
      <alignment horizontal="left" vertical="center" indent="1"/>
    </xf>
    <xf numFmtId="164" fontId="9" fillId="5" borderId="1" xfId="0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165" fontId="10" fillId="3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165" fontId="13" fillId="4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center" vertical="center" wrapText="1"/>
    </xf>
    <xf numFmtId="165" fontId="9" fillId="8" borderId="1" xfId="0" applyNumberFormat="1" applyFont="1" applyFill="1" applyBorder="1" applyAlignment="1">
      <alignment horizontal="right" vertical="center"/>
    </xf>
    <xf numFmtId="168" fontId="9" fillId="8" borderId="1" xfId="0" applyNumberFormat="1" applyFont="1" applyFill="1" applyBorder="1" applyAlignment="1">
      <alignment horizontal="right" vertical="center"/>
    </xf>
    <xf numFmtId="169" fontId="9" fillId="8" borderId="1" xfId="0" applyNumberFormat="1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opLeftCell="A12" zoomScaleNormal="100" workbookViewId="0">
      <selection sqref="A1:E1"/>
    </sheetView>
  </sheetViews>
  <sheetFormatPr defaultColWidth="8.6328125" defaultRowHeight="14.5" x14ac:dyDescent="0.35"/>
  <cols>
    <col min="1" max="1" width="48.81640625" bestFit="1" customWidth="1"/>
    <col min="2" max="2" width="20" customWidth="1"/>
    <col min="3" max="3" width="21.7265625" bestFit="1" customWidth="1"/>
    <col min="4" max="4" width="14" customWidth="1"/>
    <col min="5" max="5" width="28" customWidth="1"/>
  </cols>
  <sheetData>
    <row r="1" spans="1:5" ht="25.5" customHeight="1" x14ac:dyDescent="0.35">
      <c r="A1" s="27" t="s">
        <v>0</v>
      </c>
      <c r="B1" s="27"/>
      <c r="C1" s="27"/>
      <c r="D1" s="27"/>
      <c r="E1" s="27"/>
    </row>
    <row r="2" spans="1:5" x14ac:dyDescent="0.35">
      <c r="A2" s="28" t="s">
        <v>1</v>
      </c>
      <c r="B2" s="28"/>
      <c r="C2" s="28"/>
      <c r="D2" s="28"/>
      <c r="E2" s="28"/>
    </row>
    <row r="4" spans="1:5" x14ac:dyDescent="0.35">
      <c r="A4" s="26" t="s">
        <v>2</v>
      </c>
      <c r="B4" s="26"/>
      <c r="C4" s="26"/>
      <c r="D4" s="26"/>
      <c r="E4" s="26"/>
    </row>
    <row r="5" spans="1:5" x14ac:dyDescent="0.35">
      <c r="A5" s="3" t="s">
        <v>3</v>
      </c>
      <c r="B5" s="33" t="s">
        <v>4</v>
      </c>
      <c r="C5" s="33"/>
      <c r="D5" s="33"/>
      <c r="E5" s="33"/>
    </row>
    <row r="6" spans="1:5" x14ac:dyDescent="0.35">
      <c r="A6" s="4" t="s">
        <v>5</v>
      </c>
      <c r="B6" s="33" t="s">
        <v>6</v>
      </c>
      <c r="C6" s="33"/>
      <c r="D6" s="33"/>
      <c r="E6" s="33"/>
    </row>
    <row r="7" spans="1:5" x14ac:dyDescent="0.35">
      <c r="A7" s="5" t="s">
        <v>7</v>
      </c>
      <c r="B7" s="33" t="s">
        <v>8</v>
      </c>
      <c r="C7" s="33"/>
      <c r="D7" s="33"/>
      <c r="E7" s="33"/>
    </row>
    <row r="9" spans="1:5" x14ac:dyDescent="0.35">
      <c r="A9" s="6"/>
      <c r="B9" s="6"/>
      <c r="C9" s="6"/>
      <c r="D9" s="6"/>
      <c r="E9" s="6"/>
    </row>
    <row r="10" spans="1:5" x14ac:dyDescent="0.35">
      <c r="A10" s="26" t="s">
        <v>9</v>
      </c>
      <c r="B10" s="26"/>
      <c r="C10" s="26"/>
      <c r="D10" s="26"/>
      <c r="E10" s="26"/>
    </row>
    <row r="11" spans="1:5" x14ac:dyDescent="0.35">
      <c r="A11" s="7" t="s">
        <v>10</v>
      </c>
      <c r="B11" s="7" t="s">
        <v>11</v>
      </c>
      <c r="C11" s="2" t="s">
        <v>12</v>
      </c>
      <c r="D11" s="31" t="s">
        <v>13</v>
      </c>
      <c r="E11" s="31"/>
    </row>
    <row r="12" spans="1:5" x14ac:dyDescent="0.35">
      <c r="A12" s="8" t="s">
        <v>14</v>
      </c>
      <c r="B12" s="9">
        <v>895</v>
      </c>
      <c r="C12" s="10" t="s">
        <v>15</v>
      </c>
      <c r="D12" s="28" t="s">
        <v>16</v>
      </c>
      <c r="E12" s="28"/>
    </row>
    <row r="13" spans="1:5" x14ac:dyDescent="0.35">
      <c r="A13" s="8" t="s">
        <v>17</v>
      </c>
      <c r="B13" s="9">
        <v>1375</v>
      </c>
      <c r="C13" s="10" t="s">
        <v>18</v>
      </c>
      <c r="D13" s="28" t="s">
        <v>16</v>
      </c>
      <c r="E13" s="28"/>
    </row>
    <row r="14" spans="1:5" x14ac:dyDescent="0.35">
      <c r="A14" s="8" t="s">
        <v>19</v>
      </c>
      <c r="B14" s="9">
        <v>160</v>
      </c>
      <c r="C14" s="10" t="s">
        <v>20</v>
      </c>
      <c r="D14" s="28" t="s">
        <v>21</v>
      </c>
      <c r="E14" s="28"/>
    </row>
    <row r="15" spans="1:5" x14ac:dyDescent="0.35">
      <c r="A15" s="8" t="s">
        <v>22</v>
      </c>
      <c r="B15" s="9">
        <v>50000</v>
      </c>
      <c r="C15" s="10" t="s">
        <v>23</v>
      </c>
      <c r="D15" s="28" t="s">
        <v>24</v>
      </c>
      <c r="E15" s="28"/>
    </row>
    <row r="16" spans="1:5" x14ac:dyDescent="0.35">
      <c r="A16" s="11" t="s">
        <v>25</v>
      </c>
      <c r="B16" s="12">
        <f>B12-B14</f>
        <v>735</v>
      </c>
      <c r="C16" s="10" t="s">
        <v>26</v>
      </c>
      <c r="D16" s="28" t="s">
        <v>27</v>
      </c>
      <c r="E16" s="28"/>
    </row>
    <row r="17" spans="1:5" x14ac:dyDescent="0.35">
      <c r="A17" s="11" t="s">
        <v>28</v>
      </c>
      <c r="B17" s="12">
        <f>B13-B14</f>
        <v>1215</v>
      </c>
      <c r="C17" s="10" t="s">
        <v>26</v>
      </c>
      <c r="D17" s="28" t="s">
        <v>27</v>
      </c>
      <c r="E17" s="28"/>
    </row>
    <row r="19" spans="1:5" x14ac:dyDescent="0.35">
      <c r="A19" s="6"/>
      <c r="B19" s="6"/>
      <c r="C19" s="6"/>
      <c r="D19" s="6"/>
      <c r="E19" s="6"/>
    </row>
    <row r="20" spans="1:5" x14ac:dyDescent="0.35">
      <c r="A20" s="26" t="s">
        <v>29</v>
      </c>
      <c r="B20" s="26"/>
      <c r="C20" s="26"/>
      <c r="D20" s="26"/>
      <c r="E20" s="26"/>
    </row>
    <row r="21" spans="1:5" x14ac:dyDescent="0.35">
      <c r="A21" s="7" t="s">
        <v>10</v>
      </c>
      <c r="B21" s="7" t="s">
        <v>11</v>
      </c>
      <c r="C21" s="2" t="s">
        <v>12</v>
      </c>
      <c r="D21" s="31" t="s">
        <v>30</v>
      </c>
      <c r="E21" s="31"/>
    </row>
    <row r="22" spans="1:5" x14ac:dyDescent="0.35">
      <c r="A22" s="8" t="s">
        <v>31</v>
      </c>
      <c r="B22" s="13">
        <v>5</v>
      </c>
      <c r="C22" s="10" t="s">
        <v>32</v>
      </c>
      <c r="D22" s="28" t="s">
        <v>33</v>
      </c>
      <c r="E22" s="28"/>
    </row>
    <row r="23" spans="1:5" x14ac:dyDescent="0.35">
      <c r="A23" s="8" t="s">
        <v>34</v>
      </c>
      <c r="B23" s="13">
        <v>250</v>
      </c>
      <c r="C23" s="10" t="s">
        <v>35</v>
      </c>
      <c r="D23" s="28" t="s">
        <v>36</v>
      </c>
      <c r="E23" s="28"/>
    </row>
    <row r="24" spans="1:5" x14ac:dyDescent="0.35">
      <c r="A24" s="8" t="s">
        <v>37</v>
      </c>
      <c r="B24" s="13">
        <v>10</v>
      </c>
      <c r="C24" s="10" t="s">
        <v>32</v>
      </c>
      <c r="D24" s="28" t="s">
        <v>38</v>
      </c>
      <c r="E24" s="28"/>
    </row>
    <row r="26" spans="1:5" x14ac:dyDescent="0.35">
      <c r="A26" s="6"/>
      <c r="B26" s="6"/>
      <c r="C26" s="6"/>
      <c r="D26" s="6"/>
      <c r="E26" s="6"/>
    </row>
    <row r="27" spans="1:5" x14ac:dyDescent="0.35">
      <c r="A27" s="26" t="s">
        <v>39</v>
      </c>
      <c r="B27" s="26"/>
      <c r="C27" s="26"/>
      <c r="D27" s="26"/>
      <c r="E27" s="26"/>
    </row>
    <row r="28" spans="1:5" x14ac:dyDescent="0.35">
      <c r="A28" s="7" t="s">
        <v>40</v>
      </c>
      <c r="B28" s="2" t="s">
        <v>41</v>
      </c>
      <c r="C28" s="2" t="s">
        <v>42</v>
      </c>
      <c r="D28" s="2" t="s">
        <v>43</v>
      </c>
      <c r="E28" s="2" t="s">
        <v>30</v>
      </c>
    </row>
    <row r="29" spans="1:5" ht="18" customHeight="1" x14ac:dyDescent="0.35">
      <c r="A29" s="8" t="s">
        <v>44</v>
      </c>
      <c r="B29" s="14">
        <v>0.93979999999999997</v>
      </c>
      <c r="C29" s="14">
        <v>0.88480000000000003</v>
      </c>
      <c r="D29" s="15">
        <f>B29-C29</f>
        <v>5.4999999999999938E-2</v>
      </c>
      <c r="E29" s="1" t="s">
        <v>45</v>
      </c>
    </row>
    <row r="30" spans="1:5" ht="18" customHeight="1" x14ac:dyDescent="0.35">
      <c r="A30" s="8" t="s">
        <v>46</v>
      </c>
      <c r="B30" s="14">
        <v>0.89590000000000003</v>
      </c>
      <c r="C30" s="14">
        <v>0.75460000000000005</v>
      </c>
      <c r="D30" s="15">
        <f>B30-C30</f>
        <v>0.14129999999999998</v>
      </c>
      <c r="E30" s="1" t="s">
        <v>47</v>
      </c>
    </row>
    <row r="31" spans="1:5" ht="18" customHeight="1" x14ac:dyDescent="0.35">
      <c r="A31" s="8" t="s">
        <v>48</v>
      </c>
      <c r="B31" s="14">
        <v>0.83089999999999997</v>
      </c>
      <c r="C31" s="14">
        <v>0.7</v>
      </c>
      <c r="D31" s="15">
        <f>B31-C31</f>
        <v>0.13090000000000002</v>
      </c>
      <c r="E31" s="1" t="s">
        <v>49</v>
      </c>
    </row>
    <row r="32" spans="1:5" ht="18" customHeight="1" x14ac:dyDescent="0.35">
      <c r="A32" s="8" t="s">
        <v>50</v>
      </c>
      <c r="B32" s="14">
        <v>0.88890000000000002</v>
      </c>
      <c r="C32" s="14">
        <v>0.77980000000000005</v>
      </c>
      <c r="D32" s="15">
        <f>B32-C32</f>
        <v>0.10909999999999997</v>
      </c>
      <c r="E32" s="1" t="s">
        <v>51</v>
      </c>
    </row>
    <row r="34" spans="1:5" x14ac:dyDescent="0.35">
      <c r="A34" s="6"/>
      <c r="B34" s="6"/>
      <c r="C34" s="6"/>
      <c r="D34" s="6"/>
      <c r="E34" s="6"/>
    </row>
    <row r="35" spans="1:5" x14ac:dyDescent="0.35">
      <c r="A35" s="26" t="s">
        <v>52</v>
      </c>
      <c r="B35" s="26"/>
      <c r="C35" s="26"/>
      <c r="D35" s="26"/>
      <c r="E35" s="26"/>
    </row>
    <row r="36" spans="1:5" ht="21.75" customHeight="1" x14ac:dyDescent="0.35">
      <c r="A36" s="30" t="s">
        <v>53</v>
      </c>
      <c r="B36" s="30"/>
      <c r="C36" s="30"/>
      <c r="D36" s="30"/>
      <c r="E36" s="30"/>
    </row>
    <row r="37" spans="1:5" x14ac:dyDescent="0.35">
      <c r="A37" s="7" t="s">
        <v>10</v>
      </c>
      <c r="B37" s="2" t="s">
        <v>54</v>
      </c>
      <c r="C37" s="31" t="s">
        <v>55</v>
      </c>
      <c r="D37" s="31"/>
      <c r="E37" s="31"/>
    </row>
    <row r="38" spans="1:5" x14ac:dyDescent="0.35">
      <c r="A38" s="8" t="s">
        <v>56</v>
      </c>
      <c r="B38" s="16">
        <v>12.2</v>
      </c>
      <c r="C38" s="32" t="s">
        <v>57</v>
      </c>
      <c r="D38" s="32"/>
      <c r="E38" s="32"/>
    </row>
    <row r="39" spans="1:5" x14ac:dyDescent="0.35">
      <c r="A39" s="8" t="s">
        <v>58</v>
      </c>
      <c r="B39" s="16">
        <v>10.7</v>
      </c>
      <c r="C39" s="32" t="s">
        <v>59</v>
      </c>
      <c r="D39" s="32"/>
      <c r="E39" s="32"/>
    </row>
    <row r="40" spans="1:5" x14ac:dyDescent="0.35">
      <c r="A40" s="11" t="s">
        <v>60</v>
      </c>
      <c r="B40" s="15">
        <f>IF(B39="",B38,B38-B39)</f>
        <v>1.5</v>
      </c>
      <c r="C40" s="29" t="s">
        <v>61</v>
      </c>
      <c r="D40" s="29"/>
      <c r="E40" s="29"/>
    </row>
  </sheetData>
  <mergeCells count="26">
    <mergeCell ref="A1:E1"/>
    <mergeCell ref="A2:E2"/>
    <mergeCell ref="A4:E4"/>
    <mergeCell ref="B5:E5"/>
    <mergeCell ref="B6:E6"/>
    <mergeCell ref="B7:E7"/>
    <mergeCell ref="A10:E10"/>
    <mergeCell ref="D11:E11"/>
    <mergeCell ref="D12:E12"/>
    <mergeCell ref="D13:E13"/>
    <mergeCell ref="D14:E14"/>
    <mergeCell ref="D15:E15"/>
    <mergeCell ref="D16:E16"/>
    <mergeCell ref="D17:E17"/>
    <mergeCell ref="A20:E20"/>
    <mergeCell ref="D21:E21"/>
    <mergeCell ref="D22:E22"/>
    <mergeCell ref="D23:E23"/>
    <mergeCell ref="D24:E24"/>
    <mergeCell ref="A27:E27"/>
    <mergeCell ref="C40:E40"/>
    <mergeCell ref="A35:E35"/>
    <mergeCell ref="A36:E36"/>
    <mergeCell ref="C37:E37"/>
    <mergeCell ref="C38:E38"/>
    <mergeCell ref="C39:E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abSelected="1" topLeftCell="A26" zoomScaleNormal="100" workbookViewId="0">
      <selection activeCell="A41" sqref="A41:I41"/>
    </sheetView>
  </sheetViews>
  <sheetFormatPr defaultColWidth="8.6328125" defaultRowHeight="14.5" x14ac:dyDescent="0.35"/>
  <cols>
    <col min="1" max="1" width="40" customWidth="1"/>
    <col min="2" max="2" width="18" customWidth="1"/>
    <col min="3" max="3" width="22.81640625" bestFit="1" customWidth="1"/>
    <col min="4" max="4" width="19.81640625" bestFit="1" customWidth="1"/>
    <col min="5" max="5" width="19.36328125" bestFit="1" customWidth="1"/>
    <col min="6" max="6" width="18.90625" bestFit="1" customWidth="1"/>
    <col min="7" max="7" width="18" customWidth="1"/>
    <col min="8" max="8" width="20" customWidth="1"/>
    <col min="9" max="9" width="22" customWidth="1"/>
  </cols>
  <sheetData>
    <row r="1" spans="1:9" ht="16.5" x14ac:dyDescent="0.35">
      <c r="A1" s="27" t="s">
        <v>62</v>
      </c>
      <c r="B1" s="27"/>
      <c r="C1" s="27"/>
      <c r="D1" s="27"/>
      <c r="E1" s="27"/>
      <c r="F1" s="27"/>
      <c r="G1" s="27"/>
      <c r="H1" s="27"/>
      <c r="I1" s="27"/>
    </row>
    <row r="2" spans="1:9" x14ac:dyDescent="0.35">
      <c r="A2" s="28" t="s">
        <v>63</v>
      </c>
      <c r="B2" s="28"/>
      <c r="C2" s="28"/>
      <c r="D2" s="28"/>
      <c r="E2" s="28"/>
      <c r="F2" s="28"/>
      <c r="G2" s="28"/>
      <c r="H2" s="28"/>
      <c r="I2" s="28"/>
    </row>
    <row r="4" spans="1:9" x14ac:dyDescent="0.35">
      <c r="A4" s="26" t="s">
        <v>64</v>
      </c>
      <c r="B4" s="26"/>
      <c r="C4" s="26"/>
      <c r="D4" s="26"/>
      <c r="E4" s="26"/>
      <c r="F4" s="26"/>
      <c r="G4" s="26"/>
      <c r="H4" s="26"/>
      <c r="I4" s="26"/>
    </row>
    <row r="5" spans="1:9" x14ac:dyDescent="0.35">
      <c r="A5" s="7" t="s">
        <v>40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70</v>
      </c>
      <c r="H5" s="2" t="s">
        <v>71</v>
      </c>
    </row>
    <row r="6" spans="1:9" x14ac:dyDescent="0.35">
      <c r="A6" s="8" t="s">
        <v>72</v>
      </c>
      <c r="B6" s="13">
        <v>5</v>
      </c>
      <c r="C6" s="13">
        <v>100</v>
      </c>
      <c r="D6" s="17">
        <f>Assumptions!B16</f>
        <v>735</v>
      </c>
      <c r="E6" s="17">
        <f>Assumptions!B17</f>
        <v>1215</v>
      </c>
      <c r="F6" s="17">
        <f>D6/(B6*C6)</f>
        <v>1.47</v>
      </c>
      <c r="G6" s="17">
        <f>E6/(B6*C6)</f>
        <v>2.4300000000000002</v>
      </c>
      <c r="H6" s="17">
        <f>(F6+G6)/2</f>
        <v>1.9500000000000002</v>
      </c>
    </row>
    <row r="7" spans="1:9" x14ac:dyDescent="0.35">
      <c r="A7" s="8" t="s">
        <v>73</v>
      </c>
      <c r="B7" s="13">
        <v>5</v>
      </c>
      <c r="C7" s="13">
        <v>250</v>
      </c>
      <c r="D7" s="17">
        <f>Assumptions!B16</f>
        <v>735</v>
      </c>
      <c r="E7" s="17">
        <f>Assumptions!B17</f>
        <v>1215</v>
      </c>
      <c r="F7" s="17">
        <f>D7/(B7*C7)</f>
        <v>0.58799999999999997</v>
      </c>
      <c r="G7" s="17">
        <f>E7/(B7*C7)</f>
        <v>0.97199999999999998</v>
      </c>
      <c r="H7" s="17">
        <f>(F7+G7)/2</f>
        <v>0.78</v>
      </c>
    </row>
    <row r="8" spans="1:9" x14ac:dyDescent="0.35">
      <c r="A8" s="8" t="s">
        <v>74</v>
      </c>
      <c r="B8" s="13">
        <v>10</v>
      </c>
      <c r="C8" s="13">
        <v>250</v>
      </c>
      <c r="D8" s="17">
        <f>Assumptions!B16</f>
        <v>735</v>
      </c>
      <c r="E8" s="17">
        <f>Assumptions!B17</f>
        <v>1215</v>
      </c>
      <c r="F8" s="17">
        <f>D8/(B8*C8)</f>
        <v>0.29399999999999998</v>
      </c>
      <c r="G8" s="17">
        <f>E8/(B8*C8)</f>
        <v>0.48599999999999999</v>
      </c>
      <c r="H8" s="17">
        <f>(F8+G8)/2</f>
        <v>0.39</v>
      </c>
    </row>
    <row r="9" spans="1:9" x14ac:dyDescent="0.35">
      <c r="A9" s="8" t="s">
        <v>75</v>
      </c>
      <c r="B9" s="13">
        <v>5</v>
      </c>
      <c r="C9" s="13">
        <v>500</v>
      </c>
      <c r="D9" s="17">
        <f>Assumptions!B16</f>
        <v>735</v>
      </c>
      <c r="E9" s="17">
        <f>Assumptions!B17</f>
        <v>1215</v>
      </c>
      <c r="F9" s="17">
        <f>D9/(B9*C9)</f>
        <v>0.29399999999999998</v>
      </c>
      <c r="G9" s="17">
        <f>E9/(B9*C9)</f>
        <v>0.48599999999999999</v>
      </c>
      <c r="H9" s="17">
        <f>(F9+G9)/2</f>
        <v>0.39</v>
      </c>
    </row>
    <row r="10" spans="1:9" x14ac:dyDescent="0.35">
      <c r="A10" s="8" t="s">
        <v>76</v>
      </c>
      <c r="B10" s="18">
        <f>Assumptions!B22</f>
        <v>5</v>
      </c>
      <c r="C10" s="18">
        <f>Assumptions!B23</f>
        <v>250</v>
      </c>
      <c r="D10" s="17">
        <f>Assumptions!B16</f>
        <v>735</v>
      </c>
      <c r="E10" s="17">
        <f>Assumptions!B17</f>
        <v>1215</v>
      </c>
      <c r="F10" s="17">
        <f>D10/(B10*C10)</f>
        <v>0.58799999999999997</v>
      </c>
      <c r="G10" s="17">
        <f>E10/(B10*C10)</f>
        <v>0.97199999999999998</v>
      </c>
      <c r="H10" s="17">
        <f>(F10+G10)/2</f>
        <v>0.78</v>
      </c>
    </row>
    <row r="12" spans="1:9" x14ac:dyDescent="0.35">
      <c r="A12" s="6"/>
      <c r="B12" s="6"/>
      <c r="C12" s="6"/>
      <c r="D12" s="6"/>
      <c r="E12" s="6"/>
      <c r="F12" s="6"/>
      <c r="G12" s="6"/>
      <c r="H12" s="6"/>
      <c r="I12" s="6"/>
    </row>
    <row r="13" spans="1:9" x14ac:dyDescent="0.35">
      <c r="A13" s="26" t="s">
        <v>77</v>
      </c>
      <c r="B13" s="26"/>
      <c r="C13" s="26"/>
      <c r="D13" s="26"/>
      <c r="E13" s="26"/>
      <c r="F13" s="26"/>
      <c r="G13" s="26"/>
      <c r="H13" s="26"/>
      <c r="I13" s="26"/>
    </row>
    <row r="14" spans="1:9" x14ac:dyDescent="0.35">
      <c r="A14" s="7" t="s">
        <v>40</v>
      </c>
      <c r="B14" s="2" t="s">
        <v>69</v>
      </c>
      <c r="C14" s="2" t="s">
        <v>70</v>
      </c>
      <c r="D14" s="2" t="s">
        <v>78</v>
      </c>
      <c r="E14" s="2" t="s">
        <v>79</v>
      </c>
      <c r="F14" s="2" t="s">
        <v>80</v>
      </c>
    </row>
    <row r="15" spans="1:9" x14ac:dyDescent="0.35">
      <c r="A15" s="8" t="s">
        <v>72</v>
      </c>
      <c r="B15" s="17">
        <f>Results!F6</f>
        <v>1.47</v>
      </c>
      <c r="C15" s="17">
        <f>Results!G6</f>
        <v>2.4300000000000002</v>
      </c>
      <c r="D15" s="19">
        <f>B15/Assumptions!B15</f>
        <v>2.94E-5</v>
      </c>
      <c r="E15" s="19">
        <f>C15/Assumptions!B15</f>
        <v>4.8600000000000002E-5</v>
      </c>
      <c r="F15" s="19">
        <f>(D15+E15)/2</f>
        <v>3.8999999999999999E-5</v>
      </c>
    </row>
    <row r="16" spans="1:9" x14ac:dyDescent="0.35">
      <c r="A16" s="8" t="s">
        <v>73</v>
      </c>
      <c r="B16" s="17">
        <f>Results!F7</f>
        <v>0.58799999999999997</v>
      </c>
      <c r="C16" s="17">
        <f>Results!G7</f>
        <v>0.97199999999999998</v>
      </c>
      <c r="D16" s="19">
        <f>B16/Assumptions!B15</f>
        <v>1.1759999999999999E-5</v>
      </c>
      <c r="E16" s="19">
        <f>C16/Assumptions!B15</f>
        <v>1.944E-5</v>
      </c>
      <c r="F16" s="19">
        <f>(D16+E16)/2</f>
        <v>1.56E-5</v>
      </c>
    </row>
    <row r="17" spans="1:9" x14ac:dyDescent="0.35">
      <c r="A17" s="8" t="s">
        <v>74</v>
      </c>
      <c r="B17" s="17">
        <f>Results!F8</f>
        <v>0.29399999999999998</v>
      </c>
      <c r="C17" s="17">
        <f>Results!G8</f>
        <v>0.48599999999999999</v>
      </c>
      <c r="D17" s="19">
        <f>B17/Assumptions!B15</f>
        <v>5.8799999999999996E-6</v>
      </c>
      <c r="E17" s="19">
        <f>C17/Assumptions!B15</f>
        <v>9.7200000000000001E-6</v>
      </c>
      <c r="F17" s="19">
        <f>(D17+E17)/2</f>
        <v>7.7999999999999999E-6</v>
      </c>
    </row>
    <row r="18" spans="1:9" x14ac:dyDescent="0.35">
      <c r="A18" s="8" t="s">
        <v>75</v>
      </c>
      <c r="B18" s="17">
        <f>Results!F9</f>
        <v>0.29399999999999998</v>
      </c>
      <c r="C18" s="17">
        <f>Results!G9</f>
        <v>0.48599999999999999</v>
      </c>
      <c r="D18" s="19">
        <f>B18/Assumptions!B15</f>
        <v>5.8799999999999996E-6</v>
      </c>
      <c r="E18" s="19">
        <f>C18/Assumptions!B15</f>
        <v>9.7200000000000001E-6</v>
      </c>
      <c r="F18" s="19">
        <f>(D18+E18)/2</f>
        <v>7.7999999999999999E-6</v>
      </c>
    </row>
    <row r="19" spans="1:9" x14ac:dyDescent="0.35">
      <c r="A19" s="8" t="s">
        <v>76</v>
      </c>
      <c r="B19" s="17">
        <f>Results!F10</f>
        <v>0.58799999999999997</v>
      </c>
      <c r="C19" s="17">
        <f>Results!G10</f>
        <v>0.97199999999999998</v>
      </c>
      <c r="D19" s="19">
        <f>B19/Assumptions!B15</f>
        <v>1.1759999999999999E-5</v>
      </c>
      <c r="E19" s="19">
        <f>C19/Assumptions!B15</f>
        <v>1.944E-5</v>
      </c>
      <c r="F19" s="19">
        <f>(D19+E19)/2</f>
        <v>1.56E-5</v>
      </c>
    </row>
    <row r="21" spans="1:9" x14ac:dyDescent="0.35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26" t="s">
        <v>81</v>
      </c>
      <c r="B22" s="26"/>
      <c r="C22" s="26"/>
      <c r="D22" s="26"/>
      <c r="E22" s="26"/>
      <c r="F22" s="26"/>
      <c r="G22" s="26"/>
      <c r="H22" s="26"/>
      <c r="I22" s="26"/>
    </row>
    <row r="23" spans="1:9" ht="27.75" customHeight="1" x14ac:dyDescent="0.35">
      <c r="A23" s="25" t="s">
        <v>82</v>
      </c>
      <c r="B23" s="25"/>
      <c r="C23" s="25"/>
      <c r="D23" s="25"/>
      <c r="E23" s="25"/>
      <c r="F23" s="25"/>
      <c r="G23" s="25"/>
      <c r="H23" s="25"/>
      <c r="I23" s="25"/>
    </row>
    <row r="24" spans="1:9" ht="27.75" customHeight="1" x14ac:dyDescent="0.35">
      <c r="A24" s="7" t="s">
        <v>83</v>
      </c>
      <c r="B24" s="2" t="s">
        <v>84</v>
      </c>
      <c r="C24" s="2" t="s">
        <v>85</v>
      </c>
      <c r="D24" s="20" t="s">
        <v>86</v>
      </c>
      <c r="E24" s="2" t="s">
        <v>87</v>
      </c>
      <c r="F24" s="20" t="s">
        <v>88</v>
      </c>
      <c r="G24" s="20" t="s">
        <v>89</v>
      </c>
      <c r="H24" s="2" t="s">
        <v>90</v>
      </c>
    </row>
    <row r="25" spans="1:9" x14ac:dyDescent="0.35">
      <c r="A25" s="8" t="s">
        <v>44</v>
      </c>
      <c r="B25" s="15">
        <f>Assumptions!B29</f>
        <v>0.93979999999999997</v>
      </c>
      <c r="C25" s="15">
        <f>Assumptions!C29</f>
        <v>0.88480000000000003</v>
      </c>
      <c r="D25" s="15">
        <f>B25-C25</f>
        <v>5.4999999999999938E-2</v>
      </c>
      <c r="E25" s="15">
        <f>IF(Assumptions!B40="","— Enter V(PI) →",Assumptions!B40)</f>
        <v>1.5</v>
      </c>
      <c r="F25" s="21">
        <f>IF(Assumptions!B38="","—",D25*Assumptions!B40)</f>
        <v>8.2499999999999907E-2</v>
      </c>
      <c r="G25" s="22">
        <f>IF(Assumptions!B38="","—",F25/Assumptions!B24)</f>
        <v>8.24999999999999E-3</v>
      </c>
      <c r="H25" s="18">
        <f>Assumptions!B24</f>
        <v>10</v>
      </c>
    </row>
    <row r="26" spans="1:9" x14ac:dyDescent="0.35">
      <c r="A26" s="8" t="s">
        <v>46</v>
      </c>
      <c r="B26" s="15">
        <f>Assumptions!B30</f>
        <v>0.89590000000000003</v>
      </c>
      <c r="C26" s="15">
        <f>Assumptions!C30</f>
        <v>0.75460000000000005</v>
      </c>
      <c r="D26" s="15">
        <f>B26-C26</f>
        <v>0.14129999999999998</v>
      </c>
      <c r="E26" s="15">
        <f>IF(Assumptions!B40="","— Enter V(PI) →",Assumptions!B40)</f>
        <v>1.5</v>
      </c>
      <c r="F26" s="21">
        <f>IF(Assumptions!B38="","—",D26*Assumptions!B40)</f>
        <v>0.21194999999999997</v>
      </c>
      <c r="G26" s="22">
        <f>IF(Assumptions!B38="","—",F26/Assumptions!B24)</f>
        <v>2.1194999999999999E-2</v>
      </c>
      <c r="H26" s="18">
        <f>Assumptions!B24</f>
        <v>10</v>
      </c>
    </row>
    <row r="27" spans="1:9" x14ac:dyDescent="0.35">
      <c r="A27" s="8" t="s">
        <v>48</v>
      </c>
      <c r="B27" s="15">
        <f>Assumptions!B31</f>
        <v>0.83089999999999997</v>
      </c>
      <c r="C27" s="15">
        <f>Assumptions!C31</f>
        <v>0.7</v>
      </c>
      <c r="D27" s="15">
        <f>B27-C27</f>
        <v>0.13090000000000002</v>
      </c>
      <c r="E27" s="15">
        <f>IF(Assumptions!B40="","— Enter V(PI) →",Assumptions!B40)</f>
        <v>1.5</v>
      </c>
      <c r="F27" s="21">
        <f>IF(Assumptions!B38="","—",D27*Assumptions!B40)</f>
        <v>0.19635000000000002</v>
      </c>
      <c r="G27" s="22">
        <f>IF(Assumptions!B38="","—",F27/Assumptions!B24)</f>
        <v>1.9635000000000003E-2</v>
      </c>
      <c r="H27" s="18">
        <f>Assumptions!B24</f>
        <v>10</v>
      </c>
    </row>
    <row r="28" spans="1:9" x14ac:dyDescent="0.35">
      <c r="A28" s="8" t="s">
        <v>50</v>
      </c>
      <c r="B28" s="15">
        <f>Assumptions!B32</f>
        <v>0.88890000000000002</v>
      </c>
      <c r="C28" s="15">
        <f>Assumptions!C32</f>
        <v>0.77980000000000005</v>
      </c>
      <c r="D28" s="15">
        <f>B28-C28</f>
        <v>0.10909999999999997</v>
      </c>
      <c r="E28" s="15">
        <f>IF(Assumptions!B40="","— Enter V(PI) →",Assumptions!B40)</f>
        <v>1.5</v>
      </c>
      <c r="F28" s="21">
        <f>IF(Assumptions!B38="","—",D28*Assumptions!B40)</f>
        <v>0.16364999999999996</v>
      </c>
      <c r="G28" s="22">
        <f>IF(Assumptions!B38="","—",F28/Assumptions!B24)</f>
        <v>1.6364999999999998E-2</v>
      </c>
      <c r="H28" s="18">
        <f>Assumptions!B24</f>
        <v>10</v>
      </c>
    </row>
    <row r="30" spans="1:9" x14ac:dyDescent="0.35">
      <c r="A30" s="6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26" t="s">
        <v>91</v>
      </c>
      <c r="B31" s="26"/>
      <c r="C31" s="26"/>
      <c r="D31" s="26"/>
      <c r="E31" s="26"/>
      <c r="F31" s="26"/>
      <c r="G31" s="26"/>
      <c r="H31" s="26"/>
      <c r="I31" s="26"/>
    </row>
    <row r="32" spans="1:9" ht="21.75" customHeight="1" x14ac:dyDescent="0.35">
      <c r="A32" s="25" t="s">
        <v>92</v>
      </c>
      <c r="B32" s="25"/>
      <c r="C32" s="25"/>
      <c r="D32" s="25"/>
      <c r="E32" s="25"/>
      <c r="F32" s="25"/>
      <c r="G32" s="25"/>
      <c r="H32" s="25"/>
      <c r="I32" s="25"/>
    </row>
    <row r="33" spans="1:9" ht="27.75" customHeight="1" x14ac:dyDescent="0.35">
      <c r="A33" s="7" t="s">
        <v>40</v>
      </c>
      <c r="B33" s="20" t="s">
        <v>93</v>
      </c>
      <c r="C33" s="20" t="s">
        <v>94</v>
      </c>
      <c r="D33" s="20" t="s">
        <v>95</v>
      </c>
      <c r="E33" s="20" t="s">
        <v>96</v>
      </c>
      <c r="F33" s="20" t="s">
        <v>97</v>
      </c>
      <c r="G33" s="20" t="s">
        <v>98</v>
      </c>
      <c r="H33" s="20" t="s">
        <v>99</v>
      </c>
      <c r="I33" s="2" t="s">
        <v>100</v>
      </c>
    </row>
    <row r="34" spans="1:9" x14ac:dyDescent="0.35">
      <c r="A34" s="8" t="s">
        <v>72</v>
      </c>
      <c r="B34" s="19">
        <f>Results!F15</f>
        <v>3.8999999999999999E-5</v>
      </c>
      <c r="C34" s="22">
        <f>IF(Assumptions!B38="","—",Results!G25)</f>
        <v>8.24999999999999E-3</v>
      </c>
      <c r="D34" s="22">
        <f>IF(Assumptions!B38="","—",Results!G26)</f>
        <v>2.1194999999999999E-2</v>
      </c>
      <c r="E34" s="22">
        <f>IF(Assumptions!B38="","—",Results!G27)</f>
        <v>1.9635000000000003E-2</v>
      </c>
      <c r="F34" s="23">
        <f>IF(OR(Assumptions!B38="",C34="—"),"—",C34/B34)</f>
        <v>211.53846153846129</v>
      </c>
      <c r="G34" s="23">
        <f>IF(OR(Assumptions!B38="",C34="—"),"—",D34/B34)</f>
        <v>543.46153846153845</v>
      </c>
      <c r="H34" s="23">
        <f>IF(OR(Assumptions!B38="",C34="—"),"—",E34/B34)</f>
        <v>503.46153846153857</v>
      </c>
      <c r="I34" s="24" t="str">
        <f>IF(Assumptions!B38="","Enter V(PI)",IF(F34="—","—",IF(F34&gt;=1,"✓ Breaks even","Below threshold")))</f>
        <v>✓ Breaks even</v>
      </c>
    </row>
    <row r="35" spans="1:9" x14ac:dyDescent="0.35">
      <c r="A35" s="8" t="s">
        <v>73</v>
      </c>
      <c r="B35" s="19">
        <f>Results!F16</f>
        <v>1.56E-5</v>
      </c>
      <c r="C35" s="22">
        <f>IF(Assumptions!B38="","—",Results!G25)</f>
        <v>8.24999999999999E-3</v>
      </c>
      <c r="D35" s="22">
        <f>IF(Assumptions!B38="","—",Results!G26)</f>
        <v>2.1194999999999999E-2</v>
      </c>
      <c r="E35" s="22">
        <f>IF(Assumptions!B38="","—",Results!G27)</f>
        <v>1.9635000000000003E-2</v>
      </c>
      <c r="F35" s="23">
        <f>IF(OR(Assumptions!B38="",C35="—"),"—",C35/B35)</f>
        <v>528.84615384615324</v>
      </c>
      <c r="G35" s="23">
        <f>IF(OR(Assumptions!B38="",C35="—"),"—",D35/B35)</f>
        <v>1358.6538461538462</v>
      </c>
      <c r="H35" s="23">
        <f>IF(OR(Assumptions!B38="",C35="—"),"—",E35/B35)</f>
        <v>1258.6538461538464</v>
      </c>
      <c r="I35" s="24" t="str">
        <f>IF(Assumptions!B38="","Enter V(PI)",IF(F35="—","—",IF(F35&gt;=1,"✓ Breaks even","Below threshold")))</f>
        <v>✓ Breaks even</v>
      </c>
    </row>
    <row r="36" spans="1:9" x14ac:dyDescent="0.35">
      <c r="A36" s="8" t="s">
        <v>74</v>
      </c>
      <c r="B36" s="19">
        <f>Results!F17</f>
        <v>7.7999999999999999E-6</v>
      </c>
      <c r="C36" s="22">
        <f>IF(Assumptions!B38="","—",Results!G25)</f>
        <v>8.24999999999999E-3</v>
      </c>
      <c r="D36" s="22">
        <f>IF(Assumptions!B38="","—",Results!G26)</f>
        <v>2.1194999999999999E-2</v>
      </c>
      <c r="E36" s="22">
        <f>IF(Assumptions!B38="","—",Results!G27)</f>
        <v>1.9635000000000003E-2</v>
      </c>
      <c r="F36" s="23">
        <f>IF(OR(Assumptions!B38="",C36="—"),"—",C36/B36)</f>
        <v>1057.6923076923065</v>
      </c>
      <c r="G36" s="23">
        <f>IF(OR(Assumptions!B38="",C36="—"),"—",D36/B36)</f>
        <v>2717.3076923076924</v>
      </c>
      <c r="H36" s="23">
        <f>IF(OR(Assumptions!B38="",C36="—"),"—",E36/B36)</f>
        <v>2517.3076923076928</v>
      </c>
      <c r="I36" s="24" t="str">
        <f>IF(Assumptions!B38="","Enter V(PI)",IF(F36="—","—",IF(F36&gt;=1,"✓ Breaks even","Below threshold")))</f>
        <v>✓ Breaks even</v>
      </c>
    </row>
    <row r="37" spans="1:9" x14ac:dyDescent="0.35">
      <c r="A37" s="8" t="s">
        <v>75</v>
      </c>
      <c r="B37" s="19">
        <f>Results!F18</f>
        <v>7.7999999999999999E-6</v>
      </c>
      <c r="C37" s="22">
        <f>IF(Assumptions!B38="","—",Results!G25)</f>
        <v>8.24999999999999E-3</v>
      </c>
      <c r="D37" s="22">
        <f>IF(Assumptions!B38="","—",Results!G26)</f>
        <v>2.1194999999999999E-2</v>
      </c>
      <c r="E37" s="22">
        <f>IF(Assumptions!B38="","—",Results!G27)</f>
        <v>1.9635000000000003E-2</v>
      </c>
      <c r="F37" s="23">
        <f>IF(OR(Assumptions!B38="",C37="—"),"—",C37/B37)</f>
        <v>1057.6923076923065</v>
      </c>
      <c r="G37" s="23">
        <f>IF(OR(Assumptions!B38="",C37="—"),"—",D37/B37)</f>
        <v>2717.3076923076924</v>
      </c>
      <c r="H37" s="23">
        <f>IF(OR(Assumptions!B38="",C37="—"),"—",E37/B37)</f>
        <v>2517.3076923076928</v>
      </c>
      <c r="I37" s="24" t="str">
        <f>IF(Assumptions!B38="","Enter V(PI)",IF(F37="—","—",IF(F37&gt;=1,"✓ Breaks even","Below threshold")))</f>
        <v>✓ Breaks even</v>
      </c>
    </row>
    <row r="38" spans="1:9" x14ac:dyDescent="0.35">
      <c r="A38" s="8" t="s">
        <v>76</v>
      </c>
      <c r="B38" s="19">
        <f>Results!F19</f>
        <v>1.56E-5</v>
      </c>
      <c r="C38" s="22">
        <f>IF(Assumptions!B38="","—",Results!G25)</f>
        <v>8.24999999999999E-3</v>
      </c>
      <c r="D38" s="22">
        <f>IF(Assumptions!B38="","—",Results!G26)</f>
        <v>2.1194999999999999E-2</v>
      </c>
      <c r="E38" s="22">
        <f>IF(Assumptions!B38="","—",Results!G27)</f>
        <v>1.9635000000000003E-2</v>
      </c>
      <c r="F38" s="23">
        <f>IF(OR(Assumptions!B38="",C38="—"),"—",C38/B38)</f>
        <v>528.84615384615324</v>
      </c>
      <c r="G38" s="23">
        <f>IF(OR(Assumptions!B38="",C38="—"),"—",D38/B38)</f>
        <v>1358.6538461538462</v>
      </c>
      <c r="H38" s="23">
        <f>IF(OR(Assumptions!B38="",C38="—"),"—",E38/B38)</f>
        <v>1258.6538461538464</v>
      </c>
      <c r="I38" s="24" t="str">
        <f>IF(Assumptions!B38="","Enter V(PI)",IF(F38="—","—",IF(F38&gt;=1,"✓ Breaks even","Below threshold")))</f>
        <v>✓ Breaks even</v>
      </c>
    </row>
    <row r="40" spans="1:9" x14ac:dyDescent="0.35">
      <c r="A40" s="6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26" t="s">
        <v>101</v>
      </c>
      <c r="B41" s="26"/>
      <c r="C41" s="26"/>
      <c r="D41" s="26"/>
      <c r="E41" s="26"/>
      <c r="F41" s="26"/>
      <c r="G41" s="26"/>
      <c r="H41" s="26"/>
      <c r="I41" s="26"/>
    </row>
    <row r="42" spans="1:9" ht="21.75" customHeight="1" x14ac:dyDescent="0.35">
      <c r="A42" s="25" t="s">
        <v>108</v>
      </c>
      <c r="B42" s="25"/>
      <c r="C42" s="25"/>
      <c r="D42" s="25"/>
      <c r="E42" s="25"/>
      <c r="F42" s="25"/>
      <c r="G42" s="25"/>
      <c r="H42" s="25"/>
      <c r="I42" s="25"/>
    </row>
    <row r="43" spans="1:9" ht="23" x14ac:dyDescent="0.35">
      <c r="A43" s="7" t="s">
        <v>40</v>
      </c>
      <c r="B43" s="20" t="s">
        <v>102</v>
      </c>
      <c r="C43" s="2" t="s">
        <v>103</v>
      </c>
      <c r="D43" s="2" t="s">
        <v>104</v>
      </c>
      <c r="E43" s="2" t="s">
        <v>109</v>
      </c>
      <c r="F43" s="2" t="s">
        <v>105</v>
      </c>
      <c r="G43" s="2" t="s">
        <v>106</v>
      </c>
      <c r="H43" s="2" t="s">
        <v>107</v>
      </c>
    </row>
    <row r="44" spans="1:9" x14ac:dyDescent="0.35">
      <c r="A44" s="8" t="s">
        <v>72</v>
      </c>
      <c r="B44" s="15">
        <f>Results!F15*Assumptions!B24/Results!D25</f>
        <v>7.0909090909090991E-3</v>
      </c>
      <c r="C44" s="15">
        <f>Results!F15*Assumptions!B24/Results!D26</f>
        <v>2.7600849256900215E-3</v>
      </c>
      <c r="D44" s="15">
        <f>Results!F15*Assumptions!B24/Results!D27</f>
        <v>2.9793735676088614E-3</v>
      </c>
      <c r="E44" s="15">
        <f>IF(Assumptions!B38="","—",Assumptions!B38)</f>
        <v>12.2</v>
      </c>
      <c r="F44" s="21">
        <f>IF(Assumptions!B38="","—",E44-B44)</f>
        <v>12.19290909090909</v>
      </c>
      <c r="G44" s="21">
        <f>IF(Assumptions!B38="","—",E44-C44)</f>
        <v>12.197239915074309</v>
      </c>
      <c r="H44" s="21">
        <f>IF(Assumptions!B38="","—",E44-D44)</f>
        <v>12.197020626432391</v>
      </c>
    </row>
    <row r="45" spans="1:9" x14ac:dyDescent="0.35">
      <c r="A45" s="8" t="s">
        <v>73</v>
      </c>
      <c r="B45" s="15">
        <f>Results!F16*Assumptions!B24/Results!D25</f>
        <v>2.8363636363636395E-3</v>
      </c>
      <c r="C45" s="15">
        <f>Results!F16*Assumptions!B24/Results!D26</f>
        <v>1.1040339702760086E-3</v>
      </c>
      <c r="D45" s="15">
        <f>Results!F16*Assumptions!B24/Results!D27</f>
        <v>1.1917494270435446E-3</v>
      </c>
      <c r="E45" s="15">
        <f>IF(Assumptions!B38="","—",Assumptions!B38)</f>
        <v>12.2</v>
      </c>
      <c r="F45" s="21">
        <f>IF(Assumptions!B38="","—",E45-B45)</f>
        <v>12.197163636363635</v>
      </c>
      <c r="G45" s="21">
        <f>IF(Assumptions!B38="","—",E45-C45)</f>
        <v>12.198895966029724</v>
      </c>
      <c r="H45" s="21">
        <f>IF(Assumptions!B38="","—",E45-D45)</f>
        <v>12.198808250572956</v>
      </c>
    </row>
    <row r="46" spans="1:9" x14ac:dyDescent="0.35">
      <c r="A46" s="8" t="s">
        <v>74</v>
      </c>
      <c r="B46" s="15">
        <f>Results!F17*Assumptions!B24/Results!D25</f>
        <v>1.4181818181818197E-3</v>
      </c>
      <c r="C46" s="15">
        <f>Results!F17*Assumptions!B24/Results!D26</f>
        <v>5.5201698513800428E-4</v>
      </c>
      <c r="D46" s="15">
        <f>Results!F17*Assumptions!B24/Results!D27</f>
        <v>5.958747135217723E-4</v>
      </c>
      <c r="E46" s="15">
        <f>IF(Assumptions!B38="","—",Assumptions!B38)</f>
        <v>12.2</v>
      </c>
      <c r="F46" s="21">
        <f>IF(Assumptions!B38="","—",E46-B46)</f>
        <v>12.198581818181818</v>
      </c>
      <c r="G46" s="21">
        <f>IF(Assumptions!B38="","—",E46-C46)</f>
        <v>12.199447983014862</v>
      </c>
      <c r="H46" s="21">
        <f>IF(Assumptions!B38="","—",E46-D46)</f>
        <v>12.199404125286478</v>
      </c>
    </row>
    <row r="47" spans="1:9" x14ac:dyDescent="0.35">
      <c r="A47" s="8" t="s">
        <v>75</v>
      </c>
      <c r="B47" s="15">
        <f>Results!F18*Assumptions!B24/Results!D25</f>
        <v>1.4181818181818197E-3</v>
      </c>
      <c r="C47" s="15">
        <f>Results!F18*Assumptions!B24/Results!D26</f>
        <v>5.5201698513800428E-4</v>
      </c>
      <c r="D47" s="15">
        <f>Results!F18*Assumptions!B24/Results!D27</f>
        <v>5.958747135217723E-4</v>
      </c>
      <c r="E47" s="15">
        <f>IF(Assumptions!B38="","—",Assumptions!B38)</f>
        <v>12.2</v>
      </c>
      <c r="F47" s="21">
        <f>IF(Assumptions!B38="","—",E47-B47)</f>
        <v>12.198581818181818</v>
      </c>
      <c r="G47" s="21">
        <f>IF(Assumptions!B38="","—",E47-C47)</f>
        <v>12.199447983014862</v>
      </c>
      <c r="H47" s="21">
        <f>IF(Assumptions!B38="","—",E47-D47)</f>
        <v>12.199404125286478</v>
      </c>
    </row>
    <row r="48" spans="1:9" x14ac:dyDescent="0.35">
      <c r="A48" s="8" t="s">
        <v>76</v>
      </c>
      <c r="B48" s="15">
        <f>Results!F19*Assumptions!B24/Results!D25</f>
        <v>2.8363636363636395E-3</v>
      </c>
      <c r="C48" s="15">
        <f>Results!F19*Assumptions!B24/Results!D26</f>
        <v>1.1040339702760086E-3</v>
      </c>
      <c r="D48" s="15">
        <f>Results!F19*Assumptions!B24/Results!D27</f>
        <v>1.1917494270435446E-3</v>
      </c>
      <c r="E48" s="15">
        <f>IF(Assumptions!B38="","—",Assumptions!B38)</f>
        <v>12.2</v>
      </c>
      <c r="F48" s="21">
        <f>IF(Assumptions!B38="","—",E48-B48)</f>
        <v>12.197163636363635</v>
      </c>
      <c r="G48" s="21">
        <f>IF(Assumptions!B38="","—",E48-C48)</f>
        <v>12.198895966029724</v>
      </c>
      <c r="H48" s="21">
        <f>IF(Assumptions!B38="","—",E48-D48)</f>
        <v>12.198808250572956</v>
      </c>
    </row>
  </sheetData>
  <mergeCells count="10">
    <mergeCell ref="A1:I1"/>
    <mergeCell ref="A2:I2"/>
    <mergeCell ref="A4:I4"/>
    <mergeCell ref="A13:I13"/>
    <mergeCell ref="A22:I22"/>
    <mergeCell ref="A23:I23"/>
    <mergeCell ref="A31:I31"/>
    <mergeCell ref="A32:I32"/>
    <mergeCell ref="A41:I41"/>
    <mergeCell ref="A42:I4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2026-05-25T17:19:45Z</dcterms:created>
  <dcterms:modified xsi:type="dcterms:W3CDTF">2026-06-07T02:40:06Z</dcterms:modified>
  <dc:language/>
</cp:coreProperties>
</file>